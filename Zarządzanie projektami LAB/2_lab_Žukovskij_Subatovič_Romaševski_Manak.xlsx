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<sst xmlns="http://schemas.openxmlformats.org/spreadsheetml/2006/main" count="81" uniqueCount="56">
  <si>
    <t>Wymagania (A.C)</t>
  </si>
  <si>
    <t>Faza 1: Design</t>
  </si>
  <si>
    <t>Kto co robi?</t>
  </si>
  <si>
    <t>Czas w min</t>
  </si>
  <si>
    <t>Wypłata</t>
  </si>
  <si>
    <t>Samo ocenianie</t>
  </si>
  <si>
    <t>Przejście w dom</t>
  </si>
  <si>
    <t>Design: Wyglad z dachu + poddaszek (boczny dach)</t>
  </si>
  <si>
    <t>Radek</t>
  </si>
  <si>
    <t>132 eur zestaw</t>
  </si>
  <si>
    <t>Imie</t>
  </si>
  <si>
    <t>Dobrego:</t>
  </si>
  <si>
    <t>Złego:</t>
  </si>
  <si>
    <t>wjazd dla samochodu</t>
  </si>
  <si>
    <t>Design: Wyglad z lewej strony (przejscie scian)</t>
  </si>
  <si>
    <t>Tadeusz</t>
  </si>
  <si>
    <t>1min = 400 eur</t>
  </si>
  <si>
    <t>Adam</t>
  </si>
  <si>
    <t xml:space="preserve">Narysowałem makiet w czasie ustalonego przez nas. </t>
  </si>
  <si>
    <t>Podczas planowania nie skomunikowalismy sie z pozostalymi grupami</t>
  </si>
  <si>
    <t>okno, aby członkowie rodziny mogi przez nie wyjść</t>
  </si>
  <si>
    <t>Design: Wyglad z prawej strony (zlew wody, trąba)</t>
  </si>
  <si>
    <t>Komunikacja w swojej grupie</t>
  </si>
  <si>
    <t>komunikacja z drugimi grupami tylko w koncu, a nie na poczatku</t>
  </si>
  <si>
    <t>dach</t>
  </si>
  <si>
    <t>Design: Wyglad z przodu (otwierające się drzwi)</t>
  </si>
  <si>
    <t>Daniel</t>
  </si>
  <si>
    <t>Stworzyłem odpowiedni do zadania makiet</t>
  </si>
  <si>
    <t>Potrzebujące pytania były w końcu ograniczonego czasu, było ciężej domówić sie</t>
  </si>
  <si>
    <t>alarmowy system ubezpieczenia</t>
  </si>
  <si>
    <t>Design: Wyglad z tylu (drzwi alarmowe wyjscie)</t>
  </si>
  <si>
    <t>Komunikacja w swojej grupie + Ustalone wysokości</t>
  </si>
  <si>
    <t>komunikacja z innymi grupami nie na najlepszym poziomie</t>
  </si>
  <si>
    <t>Złączenie</t>
  </si>
  <si>
    <t>Daniel+Tadeusz</t>
  </si>
  <si>
    <t>Ogółem</t>
  </si>
  <si>
    <t>Fors mazor</t>
  </si>
  <si>
    <t>Faza 1.5: Testowanie Design</t>
  </si>
  <si>
    <t>Testowanie kryteriuw akceptacji</t>
  </si>
  <si>
    <t>Wspólnie</t>
  </si>
  <si>
    <t>Czy design odpowiada kryteriam akceptacji?</t>
  </si>
  <si>
    <t>Faza 2: Development</t>
  </si>
  <si>
    <t>Dev: Wyglad z dachu + poddaszek (boczny dach)</t>
  </si>
  <si>
    <t>Dev: Wyglad z lewej strony (drzwi do domu)</t>
  </si>
  <si>
    <t>Dev: Wyglad z prawej strony (zlew wody, trąba)</t>
  </si>
  <si>
    <t>Dev: Wyglad z przodu (otwierające się drzwi)</t>
  </si>
  <si>
    <t>Dev: Wyglad z tylu (drzwi alarmowe wyjscie)</t>
  </si>
  <si>
    <t>Faza 3: Testowanie</t>
  </si>
  <si>
    <t>Czas na przerobienie</t>
  </si>
  <si>
    <t>Test: Przejście w dom</t>
  </si>
  <si>
    <t>Test: Wjazd w dom</t>
  </si>
  <si>
    <t>Test: Okno</t>
  </si>
  <si>
    <t>Test: Dach</t>
  </si>
  <si>
    <t>Test: Alarmowy system ubezpieczenia</t>
  </si>
  <si>
    <t>Test: Stress test (test na odporność)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</si>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</sst>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23.0"/>
      <color theme="1"/>
      <name val="Arial"/>
      <scheme val="minor"/>
    </font>
    <font/>
    <font>
      <color theme="1"/>
      <name val="Arial"/>
      <scheme val="minor"/>
    </font>
    <font>
      <sz val="21.0"/>
      <color theme="1"/>
      <name val="Arial"/>
      <scheme val="minor"/>
    </font>
    <font>
      <sz val="13.0"/>
      <color theme="1"/>
      <name val="Arial"/>
      <scheme val="minor"/>
    </font>
    <font>
      <sz val="18.0"/>
      <color theme="1"/>
      <name val="Arial"/>
      <scheme val="minor"/>
    </font>
    <font>
      <sz val="14.0"/>
      <color theme="1"/>
      <name val="Arial"/>
      <scheme val="minor"/>
    </font>
    <font>
      <color rgb="FFFFFFFF"/>
      <name val="Arial"/>
      <scheme val="minor"/>
    </font>
    <font>
      <sz val="15.0"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2" fontId="1" numFmtId="0" xfId="0" applyFill="1" applyFont="1"/>
    <xf borderId="3" fillId="0" fontId="1" numFmtId="0" xfId="0" applyBorder="1" applyFont="1"/>
    <xf borderId="3" fillId="0" fontId="1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0" fillId="2" fontId="3" numFmtId="0" xfId="0" applyFont="1"/>
    <xf borderId="1" fillId="0" fontId="4" numFmtId="0" xfId="0" applyAlignment="1" applyBorder="1" applyFont="1">
      <alignment horizontal="center" readingOrder="0"/>
    </xf>
    <xf borderId="4" fillId="0" fontId="2" numFmtId="0" xfId="0" applyBorder="1" applyFont="1"/>
    <xf borderId="3" fillId="0" fontId="5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0" fillId="2" fontId="6" numFmtId="0" xfId="0" applyFont="1"/>
    <xf borderId="3" fillId="0" fontId="7" numFmtId="0" xfId="0" applyAlignment="1" applyBorder="1" applyFont="1">
      <alignment readingOrder="0"/>
    </xf>
    <xf borderId="3" fillId="0" fontId="5" numFmtId="0" xfId="0" applyAlignment="1" applyBorder="1" applyFont="1">
      <alignment horizontal="center" readingOrder="0"/>
    </xf>
    <xf borderId="3" fillId="3" fontId="3" numFmtId="0" xfId="0" applyAlignment="1" applyBorder="1" applyFill="1" applyFont="1">
      <alignment readingOrder="0"/>
    </xf>
    <xf borderId="3" fillId="4" fontId="8" numFmtId="0" xfId="0" applyAlignment="1" applyBorder="1" applyFill="1" applyFont="1">
      <alignment readingOrder="0"/>
    </xf>
    <xf borderId="3" fillId="0" fontId="5" numFmtId="0" xfId="0" applyBorder="1" applyFont="1"/>
    <xf borderId="3" fillId="0" fontId="3" numFmtId="0" xfId="0" applyAlignment="1" applyBorder="1" applyFont="1">
      <alignment readingOrder="0" shrinkToFit="0" wrapText="1"/>
    </xf>
    <xf borderId="3" fillId="0" fontId="3" numFmtId="0" xfId="0" applyBorder="1" applyFont="1"/>
    <xf borderId="0" fillId="0" fontId="5" numFmtId="0" xfId="0" applyFont="1"/>
    <xf borderId="0" fillId="0" fontId="6" numFmtId="0" xfId="0" applyFont="1"/>
    <xf borderId="3" fillId="0" fontId="7" numFmtId="0" xfId="0" applyBorder="1" applyFont="1"/>
    <xf borderId="0" fillId="0" fontId="7" numFmtId="0" xfId="0" applyFont="1"/>
    <xf borderId="0" fillId="0" fontId="7" numFmtId="0" xfId="0" applyAlignment="1" applyFont="1">
      <alignment readingOrder="0"/>
    </xf>
    <xf borderId="3" fillId="0" fontId="5" numFmtId="0" xfId="0" applyAlignment="1" applyBorder="1" applyFont="1">
      <alignment horizontal="left" readingOrder="0"/>
    </xf>
    <xf borderId="0" fillId="0" fontId="1" numFmtId="0" xfId="0" applyFont="1"/>
    <xf borderId="0" fillId="0" fontId="4" numFmtId="0" xfId="0" applyFont="1"/>
    <xf borderId="3" fillId="0" fontId="4" numFmtId="0" xfId="0" applyBorder="1" applyFont="1"/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3" fillId="0" fontId="9" numFmtId="0" xfId="0" applyAlignment="1" applyBorder="1" applyFont="1">
      <alignment readingOrder="0"/>
    </xf>
    <xf borderId="3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71.13"/>
    <col customWidth="1" min="4" max="4" width="7.0"/>
    <col customWidth="1" min="5" max="5" width="55.63"/>
    <col customWidth="1" min="6" max="6" width="21.5"/>
    <col customWidth="1" min="7" max="7" width="20.13"/>
    <col customWidth="1" min="8" max="8" width="24.5"/>
    <col customWidth="1" min="9" max="9" width="16.88"/>
    <col customWidth="1" min="13" max="13" width="28.38"/>
    <col customWidth="1" min="14" max="14" width="73.63"/>
  </cols>
  <sheetData>
    <row r="1">
      <c r="A1" s="1" t="s">
        <v>0</v>
      </c>
      <c r="B1" s="2"/>
      <c r="C1" s="3"/>
      <c r="D1" s="4"/>
      <c r="E1" s="5" t="s">
        <v>1</v>
      </c>
      <c r="F1" s="5" t="s">
        <v>2</v>
      </c>
      <c r="G1" s="5" t="s">
        <v>3</v>
      </c>
      <c r="H1" s="6">
        <v>400.0</v>
      </c>
      <c r="I1" s="5" t="s">
        <v>4</v>
      </c>
      <c r="J1" s="7"/>
      <c r="L1" s="8" t="s">
        <v>5</v>
      </c>
      <c r="M1" s="9"/>
      <c r="N1" s="2"/>
    </row>
    <row r="2">
      <c r="A2" s="10" t="b">
        <v>0</v>
      </c>
      <c r="B2" s="11" t="s">
        <v>6</v>
      </c>
      <c r="C2" s="12"/>
      <c r="D2" s="10" t="b">
        <v>1</v>
      </c>
      <c r="E2" s="13" t="s">
        <v>7</v>
      </c>
      <c r="F2" s="10" t="s">
        <v>8</v>
      </c>
      <c r="G2" s="14">
        <v>3.0</v>
      </c>
      <c r="H2" s="6">
        <f t="shared" ref="H2:H8" si="1">G2*H$1</f>
        <v>1200</v>
      </c>
      <c r="I2" s="13" t="s">
        <v>9</v>
      </c>
      <c r="J2" s="7"/>
      <c r="L2" s="6" t="s">
        <v>10</v>
      </c>
      <c r="M2" s="15" t="s">
        <v>11</v>
      </c>
      <c r="N2" s="16" t="s">
        <v>12</v>
      </c>
    </row>
    <row r="3">
      <c r="A3" s="17" t="b">
        <v>0</v>
      </c>
      <c r="B3" s="11" t="s">
        <v>13</v>
      </c>
      <c r="C3" s="12"/>
      <c r="D3" s="10" t="b">
        <v>1</v>
      </c>
      <c r="E3" s="13" t="s">
        <v>14</v>
      </c>
      <c r="F3" s="10" t="s">
        <v>15</v>
      </c>
      <c r="G3" s="14">
        <v>1.0</v>
      </c>
      <c r="H3" s="6">
        <f t="shared" si="1"/>
        <v>400</v>
      </c>
      <c r="I3" s="13" t="s">
        <v>16</v>
      </c>
      <c r="J3" s="7"/>
      <c r="L3" s="6" t="s">
        <v>17</v>
      </c>
      <c r="M3" s="18" t="s">
        <v>18</v>
      </c>
      <c r="N3" s="6" t="s">
        <v>19</v>
      </c>
    </row>
    <row r="4">
      <c r="A4" s="17" t="b">
        <v>0</v>
      </c>
      <c r="B4" s="11" t="s">
        <v>20</v>
      </c>
      <c r="C4" s="12"/>
      <c r="D4" s="10" t="b">
        <v>1</v>
      </c>
      <c r="E4" s="13" t="s">
        <v>21</v>
      </c>
      <c r="F4" s="10" t="s">
        <v>17</v>
      </c>
      <c r="G4" s="14">
        <v>1.0</v>
      </c>
      <c r="H4" s="6">
        <f t="shared" si="1"/>
        <v>400</v>
      </c>
      <c r="I4" s="19"/>
      <c r="J4" s="7"/>
      <c r="L4" s="6" t="s">
        <v>15</v>
      </c>
      <c r="M4" s="18" t="s">
        <v>22</v>
      </c>
      <c r="N4" s="6" t="s">
        <v>23</v>
      </c>
    </row>
    <row r="5">
      <c r="A5" s="17" t="b">
        <v>0</v>
      </c>
      <c r="B5" s="11" t="s">
        <v>24</v>
      </c>
      <c r="C5" s="12"/>
      <c r="D5" s="10" t="b">
        <v>1</v>
      </c>
      <c r="E5" s="13" t="s">
        <v>25</v>
      </c>
      <c r="F5" s="10" t="s">
        <v>26</v>
      </c>
      <c r="G5" s="14">
        <v>2.0</v>
      </c>
      <c r="H5" s="6">
        <f t="shared" si="1"/>
        <v>800</v>
      </c>
      <c r="I5" s="19"/>
      <c r="J5" s="7"/>
      <c r="L5" s="6" t="s">
        <v>8</v>
      </c>
      <c r="M5" s="18" t="s">
        <v>27</v>
      </c>
      <c r="N5" s="6" t="s">
        <v>28</v>
      </c>
    </row>
    <row r="6">
      <c r="A6" s="17" t="b">
        <v>0</v>
      </c>
      <c r="B6" s="11" t="s">
        <v>29</v>
      </c>
      <c r="C6" s="12"/>
      <c r="D6" s="10" t="b">
        <v>1</v>
      </c>
      <c r="E6" s="13" t="s">
        <v>30</v>
      </c>
      <c r="F6" s="10" t="s">
        <v>17</v>
      </c>
      <c r="G6" s="14">
        <v>2.0</v>
      </c>
      <c r="H6" s="6">
        <f t="shared" si="1"/>
        <v>800</v>
      </c>
      <c r="I6" s="19"/>
      <c r="J6" s="7"/>
      <c r="L6" s="6" t="s">
        <v>26</v>
      </c>
      <c r="M6" s="18" t="s">
        <v>31</v>
      </c>
      <c r="N6" s="6" t="s">
        <v>32</v>
      </c>
    </row>
    <row r="7">
      <c r="A7" s="20"/>
      <c r="B7" s="21"/>
      <c r="C7" s="12"/>
      <c r="D7" s="17"/>
      <c r="E7" s="13"/>
      <c r="F7" s="10"/>
      <c r="G7" s="14"/>
      <c r="H7" s="6">
        <f t="shared" si="1"/>
        <v>0</v>
      </c>
      <c r="I7" s="19"/>
      <c r="J7" s="7"/>
    </row>
    <row r="8">
      <c r="A8" s="20"/>
      <c r="B8" s="21"/>
      <c r="C8" s="12"/>
      <c r="D8" s="10" t="b">
        <v>1</v>
      </c>
      <c r="E8" s="13" t="s">
        <v>33</v>
      </c>
      <c r="F8" s="10" t="s">
        <v>34</v>
      </c>
      <c r="G8" s="14">
        <v>1.0</v>
      </c>
      <c r="H8" s="6">
        <f t="shared" si="1"/>
        <v>400</v>
      </c>
      <c r="I8" s="19"/>
      <c r="J8" s="7"/>
    </row>
    <row r="9">
      <c r="A9" s="21"/>
      <c r="B9" s="21"/>
      <c r="C9" s="12"/>
      <c r="D9" s="17"/>
      <c r="E9" s="13" t="s">
        <v>35</v>
      </c>
      <c r="F9" s="22"/>
      <c r="G9" s="13">
        <v>6.0</v>
      </c>
      <c r="H9" s="19">
        <f>SUM(H2:H8)</f>
        <v>4000</v>
      </c>
      <c r="I9" s="19">
        <f>G9*400</f>
        <v>2400</v>
      </c>
      <c r="J9" s="7"/>
    </row>
    <row r="10">
      <c r="A10" s="21"/>
      <c r="B10" s="21"/>
      <c r="C10" s="12"/>
      <c r="D10" s="22"/>
      <c r="E10" s="13" t="s">
        <v>36</v>
      </c>
      <c r="F10" s="22"/>
      <c r="G10" s="13">
        <v>7.0</v>
      </c>
      <c r="H10" s="19"/>
      <c r="I10" s="19"/>
      <c r="J10" s="7"/>
    </row>
    <row r="11">
      <c r="A11" s="21"/>
      <c r="B11" s="21"/>
      <c r="C11" s="12"/>
      <c r="D11" s="23"/>
      <c r="E11" s="23"/>
      <c r="F11" s="23"/>
      <c r="G11" s="24"/>
      <c r="J11" s="7"/>
    </row>
    <row r="12">
      <c r="A12" s="21"/>
      <c r="B12" s="21"/>
      <c r="C12" s="12"/>
      <c r="D12" s="23"/>
      <c r="E12" s="5" t="s">
        <v>37</v>
      </c>
      <c r="F12" s="22"/>
      <c r="G12" s="13"/>
      <c r="H12" s="19"/>
      <c r="I12" s="19"/>
      <c r="J12" s="7"/>
    </row>
    <row r="13">
      <c r="A13" s="21"/>
      <c r="B13" s="21"/>
      <c r="C13" s="12"/>
      <c r="D13" s="22"/>
      <c r="E13" s="13" t="s">
        <v>38</v>
      </c>
      <c r="F13" s="10" t="s">
        <v>39</v>
      </c>
      <c r="G13" s="14">
        <v>2.0</v>
      </c>
      <c r="H13" s="6">
        <f t="shared" ref="H13:H14" si="2">G13*H$1</f>
        <v>800</v>
      </c>
      <c r="I13" s="19"/>
      <c r="J13" s="7"/>
    </row>
    <row r="14">
      <c r="A14" s="21"/>
      <c r="B14" s="21"/>
      <c r="C14" s="12"/>
      <c r="D14" s="22"/>
      <c r="E14" s="13" t="s">
        <v>40</v>
      </c>
      <c r="F14" s="25" t="b">
        <v>0</v>
      </c>
      <c r="G14" s="14">
        <v>2.0</v>
      </c>
      <c r="H14" s="6">
        <f t="shared" si="2"/>
        <v>800</v>
      </c>
      <c r="I14" s="19"/>
      <c r="J14" s="7"/>
    </row>
    <row r="15">
      <c r="A15" s="26"/>
      <c r="B15" s="26"/>
      <c r="C15" s="3"/>
      <c r="D15" s="23"/>
      <c r="E15" s="23"/>
      <c r="F15" s="23"/>
      <c r="G15" s="24"/>
      <c r="J15" s="7"/>
    </row>
    <row r="16">
      <c r="A16" s="26"/>
      <c r="B16" s="26"/>
      <c r="C16" s="3"/>
      <c r="J16" s="7"/>
    </row>
    <row r="17">
      <c r="A17" s="26"/>
      <c r="B17" s="26"/>
      <c r="C17" s="3"/>
      <c r="D17" s="10" t="b">
        <v>0</v>
      </c>
      <c r="E17" s="5" t="s">
        <v>41</v>
      </c>
      <c r="F17" s="5" t="s">
        <v>2</v>
      </c>
      <c r="G17" s="5" t="s">
        <v>3</v>
      </c>
      <c r="H17" s="6">
        <v>400.0</v>
      </c>
      <c r="I17" s="5"/>
      <c r="J17" s="7"/>
    </row>
    <row r="18">
      <c r="C18" s="7"/>
      <c r="D18" s="17" t="b">
        <v>0</v>
      </c>
      <c r="E18" s="13" t="s">
        <v>42</v>
      </c>
      <c r="F18" s="10" t="s">
        <v>26</v>
      </c>
      <c r="G18" s="14">
        <v>12.0</v>
      </c>
      <c r="H18" s="6">
        <f t="shared" ref="H18:H22" si="3">G18*H$1</f>
        <v>4800</v>
      </c>
      <c r="I18" s="13"/>
      <c r="J18" s="7"/>
    </row>
    <row r="19">
      <c r="C19" s="7"/>
      <c r="D19" s="17" t="b">
        <v>0</v>
      </c>
      <c r="E19" s="13" t="s">
        <v>43</v>
      </c>
      <c r="F19" s="10" t="s">
        <v>15</v>
      </c>
      <c r="G19" s="14">
        <v>4.0</v>
      </c>
      <c r="H19" s="6">
        <f t="shared" si="3"/>
        <v>1600</v>
      </c>
      <c r="I19" s="13"/>
      <c r="J19" s="7"/>
    </row>
    <row r="20">
      <c r="C20" s="7"/>
      <c r="D20" s="17" t="b">
        <v>0</v>
      </c>
      <c r="E20" s="13" t="s">
        <v>44</v>
      </c>
      <c r="F20" s="10" t="s">
        <v>17</v>
      </c>
      <c r="G20" s="14">
        <v>4.0</v>
      </c>
      <c r="H20" s="6">
        <f t="shared" si="3"/>
        <v>1600</v>
      </c>
      <c r="I20" s="19"/>
      <c r="J20" s="7"/>
    </row>
    <row r="21">
      <c r="C21" s="7"/>
      <c r="D21" s="10" t="b">
        <v>0</v>
      </c>
      <c r="E21" s="13" t="s">
        <v>45</v>
      </c>
      <c r="F21" s="10" t="s">
        <v>8</v>
      </c>
      <c r="G21" s="14">
        <v>8.0</v>
      </c>
      <c r="H21" s="6">
        <f t="shared" si="3"/>
        <v>3200</v>
      </c>
      <c r="I21" s="19"/>
      <c r="J21" s="7"/>
    </row>
    <row r="22">
      <c r="C22" s="7"/>
      <c r="D22" s="17" t="b">
        <v>0</v>
      </c>
      <c r="E22" s="13" t="s">
        <v>46</v>
      </c>
      <c r="F22" s="10" t="s">
        <v>17</v>
      </c>
      <c r="G22" s="14">
        <v>8.0</v>
      </c>
      <c r="H22" s="6">
        <f t="shared" si="3"/>
        <v>3200</v>
      </c>
      <c r="I22" s="19"/>
      <c r="J22" s="7"/>
    </row>
    <row r="23">
      <c r="C23" s="7"/>
      <c r="D23" s="17" t="b">
        <v>0</v>
      </c>
      <c r="E23" s="13"/>
      <c r="F23" s="10"/>
      <c r="G23" s="14"/>
      <c r="H23" s="19"/>
      <c r="I23" s="19"/>
      <c r="J23" s="7"/>
    </row>
    <row r="24">
      <c r="C24" s="7"/>
      <c r="D24" s="17"/>
      <c r="E24" s="13" t="s">
        <v>33</v>
      </c>
      <c r="F24" s="10"/>
      <c r="G24" s="14">
        <v>4.0</v>
      </c>
      <c r="H24" s="6">
        <f>G24*H$1</f>
        <v>1600</v>
      </c>
      <c r="I24" s="19"/>
      <c r="J24" s="7"/>
    </row>
    <row r="25">
      <c r="C25" s="7"/>
      <c r="D25" s="22"/>
      <c r="E25" s="13" t="s">
        <v>35</v>
      </c>
      <c r="F25" s="22"/>
      <c r="G25" s="13">
        <v>18.0</v>
      </c>
      <c r="H25" s="19">
        <f>SUM(H18:H24)</f>
        <v>16000</v>
      </c>
      <c r="I25" s="19"/>
      <c r="J25" s="7"/>
    </row>
    <row r="26">
      <c r="C26" s="7"/>
      <c r="D26" s="23"/>
      <c r="E26" s="22"/>
      <c r="F26" s="22"/>
      <c r="G26" s="22"/>
      <c r="H26" s="19"/>
      <c r="I26" s="19"/>
      <c r="J26" s="7"/>
    </row>
    <row r="27">
      <c r="D27" s="27"/>
      <c r="E27" s="13" t="s">
        <v>36</v>
      </c>
      <c r="F27" s="13">
        <v>13.0</v>
      </c>
      <c r="G27" s="13">
        <v>18.0</v>
      </c>
      <c r="H27" s="19"/>
      <c r="I27" s="19"/>
    </row>
    <row r="28">
      <c r="D28" s="28"/>
      <c r="E28" s="24"/>
      <c r="F28" s="23"/>
      <c r="G28" s="23"/>
    </row>
    <row r="29">
      <c r="D29" s="28"/>
      <c r="E29" s="13"/>
      <c r="F29" s="10"/>
      <c r="G29" s="14"/>
    </row>
    <row r="30">
      <c r="D30" s="28"/>
      <c r="E30" s="5"/>
      <c r="F30" s="5"/>
      <c r="G30" s="5"/>
      <c r="H30" s="29"/>
      <c r="I30" s="30"/>
    </row>
    <row r="31">
      <c r="D31" s="10" t="b">
        <v>0</v>
      </c>
      <c r="E31" s="5" t="s">
        <v>47</v>
      </c>
      <c r="F31" s="5" t="s">
        <v>2</v>
      </c>
      <c r="G31" s="5" t="s">
        <v>3</v>
      </c>
      <c r="H31" s="31" t="s">
        <v>48</v>
      </c>
      <c r="I31" s="6">
        <v>400.0</v>
      </c>
      <c r="J31" s="19"/>
    </row>
    <row r="32">
      <c r="D32" s="17" t="b">
        <v>0</v>
      </c>
      <c r="E32" s="13" t="s">
        <v>49</v>
      </c>
      <c r="F32" s="10" t="s">
        <v>26</v>
      </c>
      <c r="G32" s="14">
        <v>2.0</v>
      </c>
      <c r="H32" s="14">
        <v>4.0</v>
      </c>
      <c r="I32" s="6">
        <f t="shared" ref="I32:I36" si="4">G32*H$1</f>
        <v>800</v>
      </c>
      <c r="J32" s="19"/>
    </row>
    <row r="33">
      <c r="D33" s="17" t="b">
        <v>0</v>
      </c>
      <c r="E33" s="13" t="s">
        <v>50</v>
      </c>
      <c r="F33" s="10" t="s">
        <v>15</v>
      </c>
      <c r="G33" s="14">
        <v>2.0</v>
      </c>
      <c r="H33" s="14">
        <v>8.0</v>
      </c>
      <c r="I33" s="6">
        <f t="shared" si="4"/>
        <v>800</v>
      </c>
      <c r="J33" s="19"/>
    </row>
    <row r="34">
      <c r="D34" s="17" t="b">
        <v>0</v>
      </c>
      <c r="E34" s="13" t="s">
        <v>51</v>
      </c>
      <c r="F34" s="10" t="s">
        <v>15</v>
      </c>
      <c r="G34" s="14">
        <v>2.0</v>
      </c>
      <c r="H34" s="14">
        <v>4.0</v>
      </c>
      <c r="I34" s="6">
        <f t="shared" si="4"/>
        <v>800</v>
      </c>
    </row>
    <row r="35">
      <c r="D35" s="10" t="b">
        <v>0</v>
      </c>
      <c r="E35" s="13" t="s">
        <v>52</v>
      </c>
      <c r="F35" s="10" t="s">
        <v>8</v>
      </c>
      <c r="G35" s="14">
        <v>2.0</v>
      </c>
      <c r="H35" s="14">
        <v>12.0</v>
      </c>
      <c r="I35" s="6">
        <f t="shared" si="4"/>
        <v>800</v>
      </c>
    </row>
    <row r="36">
      <c r="D36" s="17" t="b">
        <v>0</v>
      </c>
      <c r="E36" s="13" t="s">
        <v>53</v>
      </c>
      <c r="F36" s="10" t="s">
        <v>17</v>
      </c>
      <c r="G36" s="14">
        <v>2.0</v>
      </c>
      <c r="H36" s="14">
        <v>8.0</v>
      </c>
      <c r="I36" s="6">
        <f t="shared" si="4"/>
        <v>800</v>
      </c>
    </row>
    <row r="37">
      <c r="D37" s="17" t="b">
        <v>0</v>
      </c>
      <c r="E37" s="13" t="s">
        <v>54</v>
      </c>
      <c r="F37" s="10" t="s">
        <v>39</v>
      </c>
      <c r="G37" s="14">
        <v>2.0</v>
      </c>
      <c r="H37" s="14">
        <v>12.0</v>
      </c>
      <c r="I37" s="19"/>
    </row>
    <row r="38">
      <c r="D38" s="32"/>
      <c r="E38" s="33"/>
      <c r="F38" s="33"/>
      <c r="G38" s="33"/>
      <c r="H38" s="33"/>
      <c r="I38" s="33"/>
    </row>
    <row r="39">
      <c r="D39" s="22"/>
      <c r="E39" s="13" t="s">
        <v>35</v>
      </c>
      <c r="F39" s="22"/>
      <c r="G39" s="13">
        <v>4.0</v>
      </c>
      <c r="H39" s="13">
        <v>23.0</v>
      </c>
      <c r="I39" s="19">
        <f>SUM(I32:I38)</f>
        <v>4000</v>
      </c>
    </row>
    <row r="40">
      <c r="D40" s="22"/>
      <c r="E40" s="13" t="s">
        <v>36</v>
      </c>
      <c r="F40" s="22"/>
      <c r="G40" s="13">
        <v>10.0</v>
      </c>
      <c r="H40" s="19"/>
      <c r="I40" s="19"/>
    </row>
    <row r="49">
      <c r="E49" s="30" t="s">
        <v>55</v>
      </c>
    </row>
  </sheetData>
  <mergeCells count="2">
    <mergeCell ref="A1:B1"/>
    <mergeCell ref="L1:N1"/>
  </mergeCells>
  <drawing r:id="rId1"/>
</worksheet>
</file>